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jakey\Documents\"/>
    </mc:Choice>
  </mc:AlternateContent>
  <xr:revisionPtr revIDLastSave="0" documentId="13_ncr:1_{3C867DCE-9E33-4CD9-BAC9-D7F4CF89BC07}" xr6:coauthVersionLast="47" xr6:coauthVersionMax="47" xr10:uidLastSave="{00000000-0000-0000-0000-000000000000}"/>
  <bookViews>
    <workbookView xWindow="2790" yWindow="3225" windowWidth="21600" windowHeight="11385" activeTab="2" xr2:uid="{15FFA4F9-3FA4-4001-92A1-267DC6172D85}"/>
  </bookViews>
  <sheets>
    <sheet name="Communication Time" sheetId="3" r:id="rId1"/>
    <sheet name="Compute Time" sheetId="2" r:id="rId2"/>
    <sheet name="Analysis" sheetId="1" r:id="rId3"/>
  </sheets>
  <externalReferences>
    <externalReference r:id="rId4"/>
    <externalReference r:id="rId5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9" i="2" l="1"/>
  <c r="J7" i="2"/>
  <c r="J6" i="2"/>
  <c r="J5" i="2"/>
  <c r="H8" i="2"/>
  <c r="J8" i="2"/>
  <c r="J7" i="3"/>
  <c r="J6" i="3"/>
  <c r="J5" i="3"/>
  <c r="J4" i="3"/>
  <c r="H5" i="1"/>
  <c r="G5" i="1"/>
  <c r="F5" i="1"/>
  <c r="E5" i="1"/>
  <c r="D5" i="1"/>
  <c r="C5" i="1"/>
  <c r="D4" i="1"/>
  <c r="E4" i="1"/>
  <c r="F4" i="1"/>
  <c r="G4" i="1"/>
  <c r="H4" i="1"/>
  <c r="C4" i="1"/>
  <c r="E8" i="2"/>
  <c r="F8" i="2"/>
  <c r="G8" i="2"/>
  <c r="D8" i="2"/>
  <c r="C8" i="2"/>
  <c r="H7" i="2"/>
  <c r="G7" i="2"/>
  <c r="F7" i="2"/>
  <c r="E7" i="2"/>
  <c r="D7" i="2"/>
  <c r="D6" i="2"/>
  <c r="H6" i="2"/>
  <c r="G6" i="2"/>
  <c r="F6" i="2"/>
  <c r="E6" i="2"/>
  <c r="D5" i="2"/>
  <c r="H5" i="2"/>
  <c r="G5" i="2"/>
  <c r="F5" i="2"/>
  <c r="E5" i="2"/>
  <c r="C5" i="2"/>
  <c r="H7" i="3"/>
  <c r="G7" i="3"/>
  <c r="F7" i="3"/>
  <c r="E7" i="3"/>
  <c r="G6" i="3"/>
  <c r="F6" i="3"/>
  <c r="E6" i="3"/>
  <c r="H6" i="3"/>
  <c r="G5" i="3"/>
  <c r="F5" i="3"/>
  <c r="H4" i="3"/>
  <c r="G4" i="3"/>
  <c r="F4" i="3"/>
  <c r="E4" i="3"/>
  <c r="D4" i="3"/>
  <c r="C4" i="3"/>
  <c r="H5" i="3"/>
  <c r="E5" i="3"/>
  <c r="C5" i="3"/>
  <c r="C6" i="3" s="1"/>
  <c r="C7" i="3" s="1"/>
  <c r="D5" i="3"/>
  <c r="D6" i="3" s="1"/>
  <c r="D7" i="3" s="1"/>
</calcChain>
</file>

<file path=xl/sharedStrings.xml><?xml version="1.0" encoding="utf-8"?>
<sst xmlns="http://schemas.openxmlformats.org/spreadsheetml/2006/main" count="24" uniqueCount="19">
  <si>
    <t>Jacob Hreshchyshyn</t>
  </si>
  <si>
    <t>Number of Nodes</t>
  </si>
  <si>
    <t>Data operated on by Node (bytes)</t>
  </si>
  <si>
    <t>Data received from other nodes (bytes)</t>
  </si>
  <si>
    <t>Reception time in seconds (bytes received/throughput)</t>
  </si>
  <si>
    <t>Total Communication Time (latency + reception)</t>
  </si>
  <si>
    <t>Average instructions per second</t>
  </si>
  <si>
    <t>Instructions to process share of data</t>
  </si>
  <si>
    <t>Instructions to send data to 1 other node</t>
  </si>
  <si>
    <t>Instructions to send data to all other nodes</t>
  </si>
  <si>
    <t>Total instruction time</t>
  </si>
  <si>
    <t>N/A</t>
  </si>
  <si>
    <t>Total Time</t>
  </si>
  <si>
    <t>Speedup</t>
  </si>
  <si>
    <t>Data Set Size (bytes)</t>
  </si>
  <si>
    <t>Communications Latency (seconds)</t>
  </si>
  <si>
    <t>Network Throughput (bytes/second)</t>
  </si>
  <si>
    <t>Number of Instructions Required to Operate on Each Byte of Data Portion</t>
  </si>
  <si>
    <t>Number of Instructions Required to Transmit Each Data Byte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</si>
</sst>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NumberFormat="1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Communication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4"/>
          <c:order val="0"/>
          <c:tx>
            <c:strRef>
              <c:f>'Communication Time'!$B$7</c:f>
              <c:strCache>
                <c:ptCount val="1"/>
                <c:pt idx="0">
                  <c:v>Total Communication Time (latency + reception)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'Communication Time'!$C$3:$H$3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</c:numCache>
            </c:numRef>
          </c:cat>
          <c:val>
            <c:numRef>
              <c:f>'Communication Time'!$C$7:$H$7</c:f>
              <c:numCache>
                <c:formatCode>0.00E+00</c:formatCode>
                <c:ptCount val="6"/>
                <c:pt idx="0">
                  <c:v>8.9999999999999999E-8</c:v>
                </c:pt>
                <c:pt idx="1">
                  <c:v>8.388698E-3</c:v>
                </c:pt>
                <c:pt idx="2">
                  <c:v>1.2583001999999999E-2</c:v>
                </c:pt>
                <c:pt idx="3">
                  <c:v>1.4680153999999999E-2</c:v>
                </c:pt>
                <c:pt idx="4">
                  <c:v>1.572873E-2</c:v>
                </c:pt>
                <c:pt idx="5">
                  <c:v>1.6253018000000001E-2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31B-43C5-B67C-27A6DDE80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32108688"/>
        <c:axId val="1432113264"/>
      </c:barChart>
      <c:catAx>
        <c:axId val="143210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2113264"/>
        <c:crosses val="autoZero"/>
        <c:auto val="1"/>
        <c:lblAlgn val="ctr"/>
        <c:lblOffset val="100"/>
        <c:tickLblSkip val="1"/>
        <c:noMultiLvlLbl val="0"/>
      </c:catAx>
      <c:valAx>
        <c:axId val="1432113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2108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Compute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5"/>
          <c:order val="0"/>
          <c:tx>
            <c:strRef>
              <c:f>'Compute Time'!$B$8</c:f>
              <c:strCache>
                <c:ptCount val="1"/>
                <c:pt idx="0">
                  <c:v>Total instruction time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'Compute Time'!$C$3:$H$3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</c:numCache>
            </c:numRef>
          </c:cat>
          <c:val>
            <c:numRef>
              <c:f>'Compute Time'!$C$8:$H$8</c:f>
              <c:numCache>
                <c:formatCode>General</c:formatCode>
                <c:ptCount val="6"/>
                <c:pt idx="0">
                  <c:v>6.2914559999999994E-2</c:v>
                </c:pt>
                <c:pt idx="1">
                  <c:v>3.3554432000000002E-2</c:v>
                </c:pt>
                <c:pt idx="2">
                  <c:v>1.8874367999999999E-2</c:v>
                </c:pt>
                <c:pt idx="3">
                  <c:v>1.1534335999999999E-2</c:v>
                </c:pt>
                <c:pt idx="4">
                  <c:v>7.8643199999999993E-3</c:v>
                </c:pt>
                <c:pt idx="5">
                  <c:v>6.0293120000000002E-3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09F-42DA-81D8-B5DD5E7B8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5949967"/>
        <c:axId val="785946223"/>
      </c:barChart>
      <c:catAx>
        <c:axId val="7859499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5946223"/>
        <c:crosses val="autoZero"/>
        <c:auto val="1"/>
        <c:lblAlgn val="ctr"/>
        <c:lblOffset val="100"/>
        <c:noMultiLvlLbl val="0"/>
      </c:catAx>
      <c:valAx>
        <c:axId val="785946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5949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Speedups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Analysis!$B$5</c:f>
              <c:strCache>
                <c:ptCount val="1"/>
                <c:pt idx="0">
                  <c:v>Speedup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Analysis!$C$3:$H$3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</c:numCache>
            </c:numRef>
          </c:cat>
          <c:val>
            <c:numRef>
              <c:f>Analysis!$C$5:$H$5</c:f>
              <c:numCache>
                <c:formatCode>General</c:formatCode>
                <c:ptCount val="6"/>
                <c:pt idx="0">
                  <c:v>1</c:v>
                </c:pt>
                <c:pt idx="1">
                  <c:v>1.4999989271186958</c:v>
                </c:pt>
                <c:pt idx="2">
                  <c:v>1.999997138985236</c:v>
                </c:pt>
                <c:pt idx="3">
                  <c:v>2.3999951934979467</c:v>
                </c:pt>
                <c:pt idx="4">
                  <c:v>2.6666603088621437</c:v>
                </c:pt>
                <c:pt idx="5">
                  <c:v>2.8235220463928137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F8-4795-A380-E432F225B2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24989935"/>
        <c:axId val="1024988687"/>
      </c:barChart>
      <c:catAx>
        <c:axId val="1024989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4988687"/>
        <c:crosses val="autoZero"/>
        <c:auto val="1"/>
        <c:lblAlgn val="ctr"/>
        <c:lblOffset val="100"/>
        <c:noMultiLvlLbl val="0"/>
      </c:catAx>
      <c:valAx>
        <c:axId val="10249886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49899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457200</xdr:colOff>
      <xdr:row>11</xdr:row>
      <xdr:rowOff>166687</xdr:rowOff>
    </xdr:from>
    <xdr:to>
      <xdr:col>11</xdr:col>
      <xdr:colOff>152400</xdr:colOff>
      <xdr:row>26</xdr:row>
      <xdr:rowOff>52387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6BD1DCB-9FD1-41E6-8BF8-5FF3FF5492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2195512</xdr:colOff>
      <xdr:row>14</xdr:row>
      <xdr:rowOff>80962</xdr:rowOff>
    </xdr:from>
    <xdr:to>
      <xdr:col>8</xdr:col>
      <xdr:colOff>366712</xdr:colOff>
      <xdr:row>28</xdr:row>
      <xdr:rowOff>157162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74672AD-229F-483E-A311-D18A1B9D0E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357187</xdr:colOff>
      <xdr:row>11</xdr:row>
      <xdr:rowOff>166687</xdr:rowOff>
    </xdr:from>
    <xdr:to>
      <xdr:col>14</xdr:col>
      <xdr:colOff>52387</xdr:colOff>
      <xdr:row>26</xdr:row>
      <xdr:rowOff>52387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91990C0-1CFA-4700-A36F-C20E9AC9B7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Communication_Time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Compute_Time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munication Time"/>
      <sheetName val="Compute Time"/>
      <sheetName val="Analysis"/>
      <sheetName val="Communication_Time"/>
    </sheetNames>
    <sheetDataSet>
      <sheetData sheetId="0">
        <row r="4">
          <cell r="B4" t="str">
            <v>Data operated on by Node (bytes)</v>
          </cell>
          <cell r="C4">
            <v>2097152</v>
          </cell>
          <cell r="D4">
            <v>1048576</v>
          </cell>
          <cell r="E4">
            <v>524288</v>
          </cell>
          <cell r="F4">
            <v>262144</v>
          </cell>
          <cell r="G4">
            <v>131072</v>
          </cell>
          <cell r="H4">
            <v>65536</v>
          </cell>
        </row>
        <row r="7">
          <cell r="C7">
            <v>8.9999999999999999E-8</v>
          </cell>
          <cell r="D7">
            <v>8.388698E-3</v>
          </cell>
          <cell r="E7">
            <v>1.2583001999999999E-2</v>
          </cell>
          <cell r="F7">
            <v>1.4680153999999999E-2</v>
          </cell>
          <cell r="G7">
            <v>1.572873E-2</v>
          </cell>
          <cell r="H7">
            <v>1.6253018000000001E-2</v>
          </cell>
        </row>
      </sheetData>
      <sheetData sheetId="1"/>
      <sheetData sheetId="2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munication Time"/>
      <sheetName val="Compute Time"/>
      <sheetName val="Analysis"/>
    </sheetNames>
    <sheetDataSet>
      <sheetData sheetId="0"/>
      <sheetData sheetId="1">
        <row r="8">
          <cell r="C8">
            <v>6.2914559999999994E-2</v>
          </cell>
          <cell r="D8">
            <v>3.3554432000000002E-2</v>
          </cell>
          <cell r="E8">
            <v>1.8874367999999999E-2</v>
          </cell>
          <cell r="F8">
            <v>1.1534335999999999E-2</v>
          </cell>
          <cell r="G8">
            <v>7.8643199999999993E-3</v>
          </cell>
          <cell r="H8">
            <v>6.0293120000000002E-3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6B302-EBFE-49B6-A343-287D8F346642}">
  <dimension ref="A1:J12"/>
  <sheetViews>
    <sheetView workbookViewId="0">
      <selection activeCell="J4" sqref="J4"/>
    </sheetView>
  </sheetViews>
  <sheetFormatPr defaultRowHeight="15" x14ac:dyDescent="0.25"/>
  <cols>
    <col min="1" max="1" width="33" customWidth="1"/>
    <col min="2" max="2" width="50.42578125" customWidth="1"/>
  </cols>
  <sheetData>
    <row r="1" spans="1:10" x14ac:dyDescent="0.25">
      <c r="A1" t="s">
        <v>0</v>
      </c>
    </row>
    <row r="3" spans="1:10" x14ac:dyDescent="0.25">
      <c r="B3" t="s">
        <v>1</v>
      </c>
      <c r="C3">
        <v>1</v>
      </c>
      <c r="D3">
        <v>2</v>
      </c>
      <c r="E3">
        <v>4</v>
      </c>
      <c r="F3">
        <v>8</v>
      </c>
      <c r="G3">
        <v>16</v>
      </c>
      <c r="H3">
        <v>32</v>
      </c>
      <c r="J3">
        <v>64</v>
      </c>
    </row>
    <row r="4" spans="1:10" x14ac:dyDescent="0.25">
      <c r="B4" t="s">
        <v>2</v>
      </c>
      <c r="C4">
        <f>B10*(1/C3)</f>
        <v>2097152</v>
      </c>
      <c r="D4">
        <f>B10*(1/D3)</f>
        <v>1048576</v>
      </c>
      <c r="E4">
        <f>B10*(1/E3)</f>
        <v>524288</v>
      </c>
      <c r="F4">
        <f>B10*(1/F3)</f>
        <v>262144</v>
      </c>
      <c r="G4">
        <f>B10*(1/G3)</f>
        <v>131072</v>
      </c>
      <c r="H4">
        <f>B10*(1/H3)</f>
        <v>65536</v>
      </c>
      <c r="J4">
        <f>B10/J3</f>
        <v>32768</v>
      </c>
    </row>
    <row r="5" spans="1:10" x14ac:dyDescent="0.25">
      <c r="B5" t="s">
        <v>3</v>
      </c>
      <c r="C5">
        <f>B10*((C3-1)/C3)</f>
        <v>0</v>
      </c>
      <c r="D5">
        <f>B10*((D3-1)/D3)</f>
        <v>1048576</v>
      </c>
      <c r="E5">
        <f>B10*((E3-1)/E3)</f>
        <v>1572864</v>
      </c>
      <c r="F5">
        <f>B10*((F3-1)/F3)</f>
        <v>1835008</v>
      </c>
      <c r="G5">
        <f>B10*((G3-1)/G3)</f>
        <v>1966080</v>
      </c>
      <c r="H5">
        <f>B10*((H3-1)/H3)</f>
        <v>2031616</v>
      </c>
      <c r="J5">
        <f>B10*((J3-1)/J3)</f>
        <v>2064384</v>
      </c>
    </row>
    <row r="6" spans="1:10" x14ac:dyDescent="0.25">
      <c r="B6" t="s">
        <v>4</v>
      </c>
      <c r="C6" s="2">
        <f>C5/B12</f>
        <v>0</v>
      </c>
      <c r="D6" s="2">
        <f>D5/B12</f>
        <v>8.3886080000000005E-3</v>
      </c>
      <c r="E6" s="2">
        <f>E5/B12</f>
        <v>1.2582912E-2</v>
      </c>
      <c r="F6" s="2">
        <f>F5/B12</f>
        <v>1.4680064E-2</v>
      </c>
      <c r="G6" s="2">
        <f>G5/B12</f>
        <v>1.5728639999999999E-2</v>
      </c>
      <c r="H6" s="2">
        <f>H5/B12</f>
        <v>1.6252928E-2</v>
      </c>
      <c r="J6" s="2">
        <f>J5/B12</f>
        <v>1.6515071999999999E-2</v>
      </c>
    </row>
    <row r="7" spans="1:10" x14ac:dyDescent="0.25">
      <c r="B7" t="s">
        <v>5</v>
      </c>
      <c r="C7" s="2">
        <f>B11+C6</f>
        <v>8.9999999999999999E-8</v>
      </c>
      <c r="D7" s="2">
        <f>B11+D6</f>
        <v>8.388698E-3</v>
      </c>
      <c r="E7" s="2">
        <f>B11+E6</f>
        <v>1.2583001999999999E-2</v>
      </c>
      <c r="F7" s="2">
        <f>B11+F6</f>
        <v>1.4680153999999999E-2</v>
      </c>
      <c r="G7" s="2">
        <f>B11+G6</f>
        <v>1.572873E-2</v>
      </c>
      <c r="H7" s="2">
        <f>B11+H6</f>
        <v>1.6253018000000001E-2</v>
      </c>
      <c r="J7" s="2">
        <f>B11+J6</f>
        <v>1.6515162E-2</v>
      </c>
    </row>
    <row r="10" spans="1:10" x14ac:dyDescent="0.25">
      <c r="A10" t="s">
        <v>14</v>
      </c>
      <c r="B10">
        <v>2097152</v>
      </c>
    </row>
    <row r="11" spans="1:10" x14ac:dyDescent="0.25">
      <c r="A11" t="s">
        <v>15</v>
      </c>
      <c r="B11" s="2">
        <v>8.9999999999999999E-8</v>
      </c>
    </row>
    <row r="12" spans="1:10" x14ac:dyDescent="0.25">
      <c r="A12" t="s">
        <v>16</v>
      </c>
      <c r="B12" s="2">
        <v>125000000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6E9A5-CEBE-4F33-B909-8858E944EE55}">
  <dimension ref="A1:J12"/>
  <sheetViews>
    <sheetView workbookViewId="0">
      <selection activeCell="J9" sqref="J9"/>
    </sheetView>
  </sheetViews>
  <sheetFormatPr defaultRowHeight="15" x14ac:dyDescent="0.25"/>
  <cols>
    <col min="1" max="1" width="66.28515625" customWidth="1"/>
    <col min="2" max="2" width="39.28515625" customWidth="1"/>
    <col min="3" max="3" width="11" bestFit="1" customWidth="1"/>
    <col min="10" max="10" width="10" bestFit="1" customWidth="1"/>
  </cols>
  <sheetData>
    <row r="1" spans="1:10" x14ac:dyDescent="0.25">
      <c r="A1" t="s">
        <v>0</v>
      </c>
    </row>
    <row r="3" spans="1:10" x14ac:dyDescent="0.25">
      <c r="B3" t="s">
        <v>1</v>
      </c>
      <c r="C3">
        <v>1</v>
      </c>
      <c r="D3">
        <v>2</v>
      </c>
      <c r="E3">
        <v>4</v>
      </c>
      <c r="F3">
        <v>8</v>
      </c>
      <c r="G3">
        <v>16</v>
      </c>
      <c r="H3">
        <v>32</v>
      </c>
      <c r="J3">
        <v>64</v>
      </c>
    </row>
    <row r="4" spans="1:10" x14ac:dyDescent="0.25">
      <c r="B4" t="s">
        <v>6</v>
      </c>
      <c r="C4" s="1">
        <v>1000000000</v>
      </c>
      <c r="D4" s="1">
        <v>1000000000</v>
      </c>
      <c r="E4" s="1">
        <v>1000000000</v>
      </c>
      <c r="F4" s="1">
        <v>1000000000</v>
      </c>
      <c r="G4" s="1">
        <v>1000000000</v>
      </c>
      <c r="H4" s="1">
        <v>1000000000</v>
      </c>
      <c r="J4" s="2">
        <v>1000000000</v>
      </c>
    </row>
    <row r="5" spans="1:10" x14ac:dyDescent="0.25">
      <c r="B5" t="s">
        <v>7</v>
      </c>
      <c r="C5">
        <f>('[1]Communication Time'!C4)*B11</f>
        <v>62914560</v>
      </c>
      <c r="D5">
        <f>('[1]Communication Time'!D4)*B11</f>
        <v>31457280</v>
      </c>
      <c r="E5">
        <f>('[1]Communication Time'!E4)*B11</f>
        <v>15728640</v>
      </c>
      <c r="F5">
        <f>('[1]Communication Time'!F4)*B11</f>
        <v>7864320</v>
      </c>
      <c r="G5">
        <f>('[1]Communication Time'!G4)*B11</f>
        <v>3932160</v>
      </c>
      <c r="H5">
        <f>('[1]Communication Time'!H4)*B11</f>
        <v>1966080</v>
      </c>
      <c r="J5">
        <f>32768*B11</f>
        <v>983040</v>
      </c>
    </row>
    <row r="6" spans="1:10" x14ac:dyDescent="0.25">
      <c r="B6" t="s">
        <v>8</v>
      </c>
      <c r="C6" t="s">
        <v>11</v>
      </c>
      <c r="D6">
        <f>('[1]Communication Time'!D4)*B12</f>
        <v>2097152</v>
      </c>
      <c r="E6">
        <f>('[1]Communication Time'!E4)*B12</f>
        <v>1048576</v>
      </c>
      <c r="F6">
        <f>('[1]Communication Time'!F4)*B12</f>
        <v>524288</v>
      </c>
      <c r="G6">
        <f>('[1]Communication Time'!G4)*B12</f>
        <v>262144</v>
      </c>
      <c r="H6">
        <f>('[1]Communication Time'!H4)*B12</f>
        <v>131072</v>
      </c>
      <c r="J6">
        <f>32768*B12</f>
        <v>65536</v>
      </c>
    </row>
    <row r="7" spans="1:10" x14ac:dyDescent="0.25">
      <c r="B7" t="s">
        <v>9</v>
      </c>
      <c r="C7" t="s">
        <v>11</v>
      </c>
      <c r="D7">
        <f>(('[1]Communication Time'!D4)*B12)*(D3-1)</f>
        <v>2097152</v>
      </c>
      <c r="E7">
        <f>(('[1]Communication Time'!E4)*B12)*(E3-1)</f>
        <v>3145728</v>
      </c>
      <c r="F7">
        <f>(('[1]Communication Time'!F4)*B12)*(F3-1)</f>
        <v>3670016</v>
      </c>
      <c r="G7">
        <f>(('[1]Communication Time'!G4)*B12)*(G3-1)</f>
        <v>3932160</v>
      </c>
      <c r="H7">
        <f>(('[1]Communication Time'!H4)*B12)*(H3-1)</f>
        <v>4063232</v>
      </c>
      <c r="J7">
        <f>32768*B12*(J3-1)</f>
        <v>4128768</v>
      </c>
    </row>
    <row r="8" spans="1:10" x14ac:dyDescent="0.25">
      <c r="B8" t="s">
        <v>10</v>
      </c>
      <c r="C8">
        <f>C5/C4</f>
        <v>6.2914559999999994E-2</v>
      </c>
      <c r="D8">
        <f>(D5+D7)/D4</f>
        <v>3.3554432000000002E-2</v>
      </c>
      <c r="E8">
        <f t="shared" ref="E8:J8" si="0">(E5+E7)/E4</f>
        <v>1.8874367999999999E-2</v>
      </c>
      <c r="F8">
        <f t="shared" si="0"/>
        <v>1.1534335999999999E-2</v>
      </c>
      <c r="G8">
        <f t="shared" si="0"/>
        <v>7.8643199999999993E-3</v>
      </c>
      <c r="H8">
        <f>(H5+H7)/H4</f>
        <v>6.0293120000000002E-3</v>
      </c>
      <c r="J8" s="2">
        <f>(J5+J7)/J4</f>
        <v>5.1118079999999998E-3</v>
      </c>
    </row>
    <row r="9" spans="1:10" x14ac:dyDescent="0.25">
      <c r="J9" s="2">
        <f>(0.0165)+J8</f>
        <v>2.1611808E-2</v>
      </c>
    </row>
    <row r="11" spans="1:10" x14ac:dyDescent="0.25">
      <c r="A11" t="s">
        <v>17</v>
      </c>
      <c r="B11">
        <v>30</v>
      </c>
    </row>
    <row r="12" spans="1:10" x14ac:dyDescent="0.25">
      <c r="A12" t="s">
        <v>18</v>
      </c>
      <c r="B12">
        <v>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1D6A7F-ACA2-4EEC-8CF7-831DC446920C}">
  <dimension ref="A1:H5"/>
  <sheetViews>
    <sheetView tabSelected="1" workbookViewId="0">
      <selection activeCell="H5" sqref="H5"/>
    </sheetView>
  </sheetViews>
  <sheetFormatPr defaultRowHeight="15" x14ac:dyDescent="0.25"/>
  <cols>
    <col min="1" max="1" width="18.28515625" customWidth="1"/>
    <col min="2" max="2" width="17" customWidth="1"/>
    <col min="3" max="3" width="11" bestFit="1" customWidth="1"/>
  </cols>
  <sheetData>
    <row r="1" spans="1:8" x14ac:dyDescent="0.25">
      <c r="A1" t="s">
        <v>0</v>
      </c>
    </row>
    <row r="3" spans="1:8" x14ac:dyDescent="0.25">
      <c r="B3" t="s">
        <v>1</v>
      </c>
      <c r="C3">
        <v>1</v>
      </c>
      <c r="D3">
        <v>2</v>
      </c>
      <c r="E3">
        <v>4</v>
      </c>
      <c r="F3">
        <v>8</v>
      </c>
      <c r="G3">
        <v>16</v>
      </c>
      <c r="H3">
        <v>32</v>
      </c>
    </row>
    <row r="4" spans="1:8" x14ac:dyDescent="0.25">
      <c r="B4" t="s">
        <v>12</v>
      </c>
      <c r="C4">
        <f>'[1]Communication Time'!C7+'[2]Compute Time'!C8</f>
        <v>6.2914649999999989E-2</v>
      </c>
      <c r="D4">
        <f>'[1]Communication Time'!D7+'[2]Compute Time'!D8</f>
        <v>4.1943130000000002E-2</v>
      </c>
      <c r="E4">
        <f>'[1]Communication Time'!E7+'[2]Compute Time'!E8</f>
        <v>3.1457369999999998E-2</v>
      </c>
      <c r="F4">
        <f>'[1]Communication Time'!F7+'[2]Compute Time'!F8</f>
        <v>2.621449E-2</v>
      </c>
      <c r="G4">
        <f>'[1]Communication Time'!G7+'[2]Compute Time'!G8</f>
        <v>2.3593049999999997E-2</v>
      </c>
      <c r="H4">
        <f>'[1]Communication Time'!H7+'[2]Compute Time'!H8</f>
        <v>2.2282330000000003E-2</v>
      </c>
    </row>
    <row r="5" spans="1:8" x14ac:dyDescent="0.25">
      <c r="B5" t="s">
        <v>13</v>
      </c>
      <c r="C5">
        <f>C4/C4</f>
        <v>1</v>
      </c>
      <c r="D5">
        <f>C4/D4</f>
        <v>1.4999989271186958</v>
      </c>
      <c r="E5">
        <f>C4/E4</f>
        <v>1.999997138985236</v>
      </c>
      <c r="F5">
        <f>C4/F4</f>
        <v>2.3999951934979467</v>
      </c>
      <c r="G5">
        <f>C4/G4</f>
        <v>2.6666603088621437</v>
      </c>
      <c r="H5">
        <f>C4/H4</f>
        <v>2.8235220463928137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Communication Time</vt:lpstr>
      <vt:lpstr>Compute Time</vt:lpstr>
      <vt:lpstr>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 Hreshchyshyn</dc:creator>
  <cp:lastModifiedBy>Jacob Hreshchyshyn</cp:lastModifiedBy>
  <dcterms:created xsi:type="dcterms:W3CDTF">2022-02-20T22:06:15Z</dcterms:created>
  <dcterms:modified xsi:type="dcterms:W3CDTF">2022-02-22T06:16:25Z</dcterms:modified>
</cp:coreProperties>
</file>